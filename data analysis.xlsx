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B4B7A7A-1041-43DD-A305-0AF906C4B2DA}" xr6:coauthVersionLast="47" xr6:coauthVersionMax="47" xr10:uidLastSave="{00000000-0000-0000-0000-000000000000}"/>
  <bookViews>
    <workbookView xWindow="-120" yWindow="-120" windowWidth="20730" windowHeight="11040" activeTab="1" xr2:uid="{FDF7763B-98F3-474E-BBBA-7B1202C76DA6}"/>
  </bookViews>
  <sheets>
    <sheet name="Sheet1" sheetId="1" r:id="rId1"/>
    <sheet name="Sheet 2" sheetId="3" r:id="rId2"/>
    <sheet name="Sheet 3" sheetId="5" r:id="rId3"/>
  </sheets>
  <calcPr calcId="18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</calcChain>
</file>

<file path=xl/sharedStrings.xml><?xml version="1.0" encoding="utf-8"?>
<sst xmlns="http://schemas.openxmlformats.org/spreadsheetml/2006/main" count="67" uniqueCount="42">
  <si>
    <t>Date</t>
  </si>
  <si>
    <t>Machine_ID</t>
  </si>
  <si>
    <t>Energy_kWh</t>
  </si>
  <si>
    <t>Operating_Hours</t>
  </si>
  <si>
    <t>Cost_LKR</t>
  </si>
  <si>
    <t>Production_units</t>
  </si>
  <si>
    <t>Efficiency_units_per_kWh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</si>
  <si>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</si>
  <si>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</si>
  <si>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</si>
  <si>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</si>
  <si>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</si>
  <si>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</si>
  <si>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</si>
  <si>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</si>
  <si>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</si>
  <si>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</si>
  <si>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</si>
  <si>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</si>
  <si>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</si>
  <si>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</si>
  <si>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</si>
  <si>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</si>
  <si>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</si>
  <si>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</si>
  <si>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</si>
  <si>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</si>
  <si>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M1</t>
  </si>
  <si>
    <t>M2</t>
  </si>
  <si>
    <t>M3</t>
  </si>
  <si>
    <t>Row Labels</t>
  </si>
  <si>
    <t>Grand Total</t>
  </si>
  <si>
    <t>Sum of Energy_kWh</t>
  </si>
  <si>
    <t>Sum of Production_units</t>
  </si>
  <si>
    <t>Sum of Efficiency_units_per_kWh</t>
  </si>
  <si>
    <t>1. M2 consumed the highest amount of energy.</t>
  </si>
  <si>
    <t>2. M3 achieved the highest average energy efficiency.</t>
  </si>
  <si>
    <t>3. Energy consumption showed a positive relationship with operating cost.</t>
  </si>
  <si>
    <t>4. Optimization opportunities exist for high-energy-consuming machines.</t>
  </si>
  <si>
    <t>Insights</t>
  </si>
  <si>
    <t>Table 1</t>
  </si>
  <si>
    <t>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</si>
</sst>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analysis.xlsx]Sheet 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 Energy vs Production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2'!$I$3</c:f>
              <c:strCache>
                <c:ptCount val="1"/>
                <c:pt idx="0">
                  <c:v>Sum of Energy_kWh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2'!$H$4:$H$7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'Sheet 2'!$I$4:$I$7</c:f>
              <c:numCache>
                <c:formatCode>General</c:formatCode>
                <c:ptCount val="3"/>
                <c:pt idx="0">
                  <c:v>871</c:v>
                </c:pt>
                <c:pt idx="1">
                  <c:v>919</c:v>
                </c:pt>
                <c:pt idx="2">
                  <c:v>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5-4B0B-B27A-C0FA73A4D69F}"/>
            </c:ext>
          </c:extLst>
        </c:ser>
        <c:ser>
          <c:idx val="1"/>
          <c:order val="1"/>
          <c:tx>
            <c:strRef>
              <c:f>'Sheet 2'!$J$3</c:f>
              <c:strCache>
                <c:ptCount val="1"/>
                <c:pt idx="0">
                  <c:v>Sum of Production_units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 2'!$H$4:$H$7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'Sheet 2'!$J$4:$J$7</c:f>
              <c:numCache>
                <c:formatCode>General</c:formatCode>
                <c:ptCount val="3"/>
                <c:pt idx="0">
                  <c:v>3595</c:v>
                </c:pt>
                <c:pt idx="1">
                  <c:v>3665</c:v>
                </c:pt>
                <c:pt idx="2">
                  <c:v>3430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65-4B0B-B27A-C0FA73A4D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851567"/>
        <c:axId val="1186852047"/>
      </c:barChart>
      <c:catAx>
        <c:axId val="118685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852047"/>
        <c:crosses val="autoZero"/>
        <c:auto val="1"/>
        <c:lblAlgn val="ctr"/>
        <c:lblOffset val="100"/>
        <c:noMultiLvlLbl val="0"/>
      </c:catAx>
      <c:valAx>
        <c:axId val="11868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85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analysis.xlsx]Sheet 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  <a:r>
              <a:rPr lang="en-US" baseline="0"/>
              <a:t> by production</a:t>
            </a:r>
            <a:endParaRPr lang="en-US"/>
          </a:p>
        </c:rich>
      </c:tx>
      <c:layout>
        <c:manualLayout>
          <c:xMode val="edge"/>
          <c:yMode val="edge"/>
          <c:x val="0.28274188844673986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2'!$A$4:$A$7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'Sheet 2'!$B$4:$B$7</c:f>
              <c:numCache>
                <c:formatCode>General</c:formatCode>
                <c:ptCount val="3"/>
                <c:pt idx="0">
                  <c:v>28.895849119972397</c:v>
                </c:pt>
                <c:pt idx="1">
                  <c:v>23.925583307162256</c:v>
                </c:pt>
                <c:pt idx="2">
                  <c:v>28.580887592853212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4-412E-AC18-7DD9A3984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6856367"/>
        <c:axId val="1186856847"/>
      </c:barChart>
      <c:catAx>
        <c:axId val="11868563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856847"/>
        <c:crosses val="autoZero"/>
        <c:auto val="1"/>
        <c:lblAlgn val="ctr"/>
        <c:lblOffset val="100"/>
        <c:noMultiLvlLbl val="0"/>
      </c:catAx>
      <c:valAx>
        <c:axId val="118685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</a:t>
                </a:r>
                <a:r>
                  <a:rPr lang="en-US" baseline="0"/>
                  <a:t> of efficinecy per kWh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5673250218722657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8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8</xdr:row>
      <xdr:rowOff>4762</xdr:rowOff>
    </xdr:from>
    <xdr:to>
      <xdr:col>11</xdr:col>
      <xdr:colOff>200025</xdr:colOff>
      <xdr:row>22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A1C3AC-6952-BE4D-624D-5AA6A69E7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180976</xdr:colOff>
      <xdr:row>7</xdr:row>
      <xdr:rowOff>176212</xdr:rowOff>
    </xdr:from>
    <xdr:to>
      <xdr:col>3</xdr:col>
      <xdr:colOff>76201</xdr:colOff>
      <xdr:row>22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9E31EC-9105-E8E4-4C1B-A0C4CD4F3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thumini De silva" refreshedDate="46175.524494560188" createdVersion="8" refreshedVersion="8" minRefreshableVersion="3" recordCount="20" xr:uid="{5C94B356-1708-4690-A97F-A1B631FEED14}">
  <cacheSource type="worksheet">
    <worksheetSource name="Table1"/>
  </cacheSource>
  <cacheFields count="7">
    <cacheField name="Date" numFmtId="0">
      <sharedItems/>
    </cacheField>
    <cacheField name="Machine_ID" numFmtId="0">
      <sharedItems count="3">
        <s v="M1"/>
        <s v="M2"/>
        <s v="M3"/>
      </sharedItems>
    </cacheField>
    <cacheField name="Production_units" numFmtId="0">
      <sharedItems containsSemiMixedTypes="0" containsString="0" containsNumber="1" containsInteger="1" minValue="440" maxValue="640"/>
    </cacheField>
    <cacheField name="Energy_kWh" numFmtId="0">
      <sharedItems containsSemiMixedTypes="0" containsString="0" containsNumber="1" containsInteger="1" minValue="108" maxValue="160"/>
    </cacheField>
    <cacheField name="Operating_Hours" numFmtId="0">
      <sharedItems containsSemiMixedTypes="0" containsString="0" containsNumber="1" containsInteger="1" minValue="7" maxValue="10"/>
    </cacheField>
    <cacheField name="Cost_LKR" numFmtId="0">
      <sharedItems containsSemiMixedTypes="0" containsString="0" containsNumber="1" containsInteger="1" minValue="3240" maxValue="4800"/>
    </cacheField>
    <cacheField name="Efficiency_units_per_kWh" numFmtId="0">
      <sharedItems containsSemiMixedTypes="0" containsString="0" containsNumber="1" minValue="3.9189189189189189" maxValue="4.18032786885245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Day 1"/>
    <x v="0"/>
    <n v="500"/>
    <n v="120"/>
    <n v="8"/>
    <n v="3600"/>
    <n v="4.166666666666667"/>
  </r>
  <r>
    <s v="Day 2"/>
    <x v="0"/>
    <n v="520"/>
    <n v="125"/>
    <n v="8"/>
    <n v="3750"/>
    <n v="4.16"/>
  </r>
  <r>
    <s v="Day 3"/>
    <x v="0"/>
    <n v="480"/>
    <n v="118"/>
    <n v="8"/>
    <n v="3540"/>
    <n v="4.0677966101694913"/>
  </r>
  <r>
    <s v="Day 4"/>
    <x v="0"/>
    <n v="530"/>
    <n v="130"/>
    <n v="8"/>
    <n v="3900"/>
    <n v="4.0769230769230766"/>
  </r>
  <r>
    <s v="Day 5"/>
    <x v="0"/>
    <n v="510"/>
    <n v="122"/>
    <n v="8"/>
    <n v="3660"/>
    <n v="4.1803278688524594"/>
  </r>
  <r>
    <s v="Day 6"/>
    <x v="1"/>
    <n v="600"/>
    <n v="150"/>
    <n v="10"/>
    <n v="4500"/>
    <n v="4"/>
  </r>
  <r>
    <s v="Day 7"/>
    <x v="1"/>
    <n v="620"/>
    <n v="155"/>
    <n v="10"/>
    <n v="4650"/>
    <n v="4"/>
  </r>
  <r>
    <s v="Day 8"/>
    <x v="1"/>
    <n v="580"/>
    <n v="148"/>
    <n v="10"/>
    <n v="4440"/>
    <n v="3.9189189189189189"/>
  </r>
  <r>
    <s v="Day 9"/>
    <x v="1"/>
    <n v="610"/>
    <n v="152"/>
    <n v="10"/>
    <n v="4560"/>
    <n v="4.0131578947368425"/>
  </r>
  <r>
    <s v="Day 10"/>
    <x v="2"/>
    <n v="630"/>
    <n v="158"/>
    <n v="10"/>
    <n v="4740"/>
    <n v="3.9873417721518987"/>
  </r>
  <r>
    <s v="Day 11"/>
    <x v="2"/>
    <n v="450"/>
    <n v="110"/>
    <n v="7"/>
    <n v="3300"/>
    <n v="4.0909090909090908"/>
  </r>
  <r>
    <s v="Day 12"/>
    <x v="2"/>
    <n v="470"/>
    <n v="115"/>
    <n v="7"/>
    <n v="3450"/>
    <n v="4.0869565217391308"/>
  </r>
  <r>
    <s v="Day 13"/>
    <x v="2"/>
    <n v="440"/>
    <n v="108"/>
    <n v="7"/>
    <n v="3240"/>
    <n v="4.0740740740740744"/>
  </r>
  <r>
    <s v="Day 14"/>
    <x v="2"/>
    <n v="460"/>
    <n v="112"/>
    <n v="7"/>
    <n v="3360"/>
    <n v="4.1071428571428568"/>
  </r>
  <r>
    <s v="Day 15"/>
    <x v="2"/>
    <n v="480"/>
    <n v="118"/>
    <n v="7"/>
    <n v="3540"/>
    <n v="4.0677966101694913"/>
  </r>
  <r>
    <s v="Day 16"/>
    <x v="0"/>
    <n v="540"/>
    <n v="132"/>
    <n v="8"/>
    <n v="3960"/>
    <n v="4.0909090909090908"/>
  </r>
  <r>
    <s v="Day 17"/>
    <x v="1"/>
    <n v="640"/>
    <n v="160"/>
    <n v="10"/>
    <n v="4800"/>
    <n v="4"/>
  </r>
  <r>
    <s v="Day 18"/>
    <x v="2"/>
    <n v="500"/>
    <n v="120"/>
    <n v="7"/>
    <n v="3600"/>
    <n v="4.166666666666667"/>
  </r>
  <r>
    <s v="Day 19"/>
    <x v="0"/>
    <n v="515"/>
    <n v="124"/>
    <n v="8"/>
    <n v="3720"/>
    <n v="4.153225806451613"/>
  </r>
  <r>
    <s v="Day 20"/>
    <x v="1"/>
    <n v="615"/>
    <n v="154"/>
    <n v="10"/>
    <n v="4620"/>
    <n v="3.99350649350649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7B9CF-684C-4E62-A5D5-7089C2201A3D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3:J7" firstHeaderRow="0" firstDataRow="1" firstDataCol="1"/>
  <pivotFields count="7"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nergy_kWh" fld="3" baseField="0" baseItem="0"/>
    <dataField name="Sum of Production_units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74BF0-BA92-4E65-82C2-6BA5E53E36BC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achine_ID">
  <location ref="A3:B7" firstHeaderRow="1" firstDataRow="1" firstDataCol="1"/>
  <pivotFields count="7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fficiency_units_per_kWh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4D25E-ACB3-45C1-82B4-1AD3681B13EB}" name="Table1" displayName="Table1" ref="A1:G22" totalsRowCount="1">
  <autoFilter ref="A1:G21" xr:uid="{8664D25E-ACB3-45C1-82B4-1AD3681B13EB}"/>
  <tableColumns count="7">
    <tableColumn id="1" xr3:uid="{401BF5B5-34C6-4746-B9D3-353A197D91FD}" name="Date"/>
    <tableColumn id="2" xr3:uid="{86A52C42-3818-45D0-A992-01AC31D96797}" name="Machine_ID"/>
    <tableColumn id="3" xr3:uid="{D7A6561B-6555-4C06-9BD4-97069C9F691C}" name="Production_units"/>
    <tableColumn id="4" xr3:uid="{9EE8ED8B-7E0E-4F96-95C6-FA0F6FF55F47}" name="Energy_kWh"/>
    <tableColumn id="5" xr3:uid="{F8521063-89C9-46ED-8FCF-130D4056F7E7}" name="Operating_Hours"/>
    <tableColumn id="6" xr3:uid="{86C906B4-84D2-47AF-AD17-2DC4695F93CB}" name="Cost_LKR"/>
    <tableColumn id="7" xr3:uid="{182B2966-16FB-4232-88AD-3D0D89639FA1}" name="Efficiency_units_per_kWh" dataDxfId="0">
      <calculatedColumnFormula>Table1[[#This Row],[Production_units]]/Table1[[#This Row],[Energy_kWh]]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AC53-963F-4FE8-A45A-C9D4520D28ED}">
  <dimension ref="A1:G21"/>
  <sheetViews>
    <sheetView workbookViewId="0">
      <selection activeCell="I17" sqref="I17"/>
    </sheetView>
  </sheetViews>
  <sheetFormatPr defaultRowHeight="15" x14ac:dyDescent="0.25"/>
  <cols>
    <col min="1" max="1" width="26.7109375" customWidth="1"/>
    <col min="2" max="2" width="17.5703125" customWidth="1"/>
    <col min="3" max="3" width="17.140625" customWidth="1"/>
    <col min="4" max="4" width="16.85546875" customWidth="1"/>
    <col min="5" max="5" width="15.28515625" customWidth="1"/>
    <col min="6" max="6" width="15.85546875" customWidth="1"/>
    <col min="7" max="7" width="16" customWidth="1"/>
  </cols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</row>
    <row r="2" spans="1:7" x14ac:dyDescent="0.25">
      <c r="A2" t="s">
        <v>7</v>
      </c>
      <c r="B2" t="s">
        <v>27</v>
      </c>
      <c r="C2">
        <v>500</v>
      </c>
      <c r="D2">
        <v>120</v>
      </c>
      <c r="E2">
        <v>8</v>
      </c>
      <c r="F2">
        <v>3600</v>
      </c>
      <c r="G2">
        <f>Table1[[#This Row],[Production_units]]/Table1[[#This Row],[Energy_kWh]]</f>
        <v>4.166666666666667</v>
      </c>
    </row>
    <row r="3" spans="1:7" x14ac:dyDescent="0.25">
      <c r="A3" t="s">
        <v>8</v>
      </c>
      <c r="B3" t="s">
        <v>27</v>
      </c>
      <c r="C3">
        <v>520</v>
      </c>
      <c r="D3">
        <v>125</v>
      </c>
      <c r="E3">
        <v>8</v>
      </c>
      <c r="F3">
        <v>3750</v>
      </c>
      <c r="G3">
        <f>Table1[[#This Row],[Production_units]]/Table1[[#This Row],[Energy_kWh]]</f>
        <v>4.16</v>
      </c>
    </row>
    <row r="4" spans="1:7" x14ac:dyDescent="0.25">
      <c r="A4" t="s">
        <v>9</v>
      </c>
      <c r="B4" t="s">
        <v>27</v>
      </c>
      <c r="C4">
        <v>480</v>
      </c>
      <c r="D4">
        <v>118</v>
      </c>
      <c r="E4">
        <v>8</v>
      </c>
      <c r="F4">
        <v>3540</v>
      </c>
      <c r="G4">
        <f>Table1[[#This Row],[Production_units]]/Table1[[#This Row],[Energy_kWh]]</f>
        <v>4.0677966101694913</v>
      </c>
    </row>
    <row r="5" spans="1:7" x14ac:dyDescent="0.25">
      <c r="A5" t="s">
        <v>10</v>
      </c>
      <c r="B5" t="s">
        <v>27</v>
      </c>
      <c r="C5">
        <v>530</v>
      </c>
      <c r="D5">
        <v>130</v>
      </c>
      <c r="E5">
        <v>8</v>
      </c>
      <c r="F5">
        <v>3900</v>
      </c>
      <c r="G5">
        <f>Table1[[#This Row],[Production_units]]/Table1[[#This Row],[Energy_kWh]]</f>
        <v>4.0769230769230766</v>
      </c>
    </row>
    <row r="6" spans="1:7" x14ac:dyDescent="0.25">
      <c r="A6" t="s">
        <v>11</v>
      </c>
      <c r="B6" t="s">
        <v>27</v>
      </c>
      <c r="C6">
        <v>510</v>
      </c>
      <c r="D6">
        <v>122</v>
      </c>
      <c r="E6">
        <v>8</v>
      </c>
      <c r="F6">
        <v>3660</v>
      </c>
      <c r="G6">
        <f>Table1[[#This Row],[Production_units]]/Table1[[#This Row],[Energy_kWh]]</f>
        <v>4.1803278688524594</v>
      </c>
    </row>
    <row r="7" spans="1:7" x14ac:dyDescent="0.25">
      <c r="A7" t="s">
        <v>12</v>
      </c>
      <c r="B7" t="s">
        <v>28</v>
      </c>
      <c r="C7">
        <v>600</v>
      </c>
      <c r="D7">
        <v>150</v>
      </c>
      <c r="E7">
        <v>10</v>
      </c>
      <c r="F7">
        <v>4500</v>
      </c>
      <c r="G7">
        <f>Table1[[#This Row],[Production_units]]/Table1[[#This Row],[Energy_kWh]]</f>
        <v>4</v>
      </c>
    </row>
    <row r="8" spans="1:7" x14ac:dyDescent="0.25">
      <c r="A8" t="s">
        <v>13</v>
      </c>
      <c r="B8" t="s">
        <v>28</v>
      </c>
      <c r="C8">
        <v>620</v>
      </c>
      <c r="D8">
        <v>155</v>
      </c>
      <c r="E8">
        <v>10</v>
      </c>
      <c r="F8">
        <v>4650</v>
      </c>
      <c r="G8">
        <f>Table1[[#This Row],[Production_units]]/Table1[[#This Row],[Energy_kWh]]</f>
        <v>4</v>
      </c>
    </row>
    <row r="9" spans="1:7" x14ac:dyDescent="0.25">
      <c r="A9" t="s">
        <v>14</v>
      </c>
      <c r="B9" t="s">
        <v>28</v>
      </c>
      <c r="C9">
        <v>580</v>
      </c>
      <c r="D9">
        <v>148</v>
      </c>
      <c r="E9">
        <v>10</v>
      </c>
      <c r="F9">
        <v>4440</v>
      </c>
      <c r="G9">
        <f>Table1[[#This Row],[Production_units]]/Table1[[#This Row],[Energy_kWh]]</f>
        <v>3.9189189189189189</v>
      </c>
    </row>
    <row r="10" spans="1:7" x14ac:dyDescent="0.25">
      <c r="A10" t="s">
        <v>15</v>
      </c>
      <c r="B10" t="s">
        <v>28</v>
      </c>
      <c r="C10">
        <v>610</v>
      </c>
      <c r="D10">
        <v>152</v>
      </c>
      <c r="E10">
        <v>10</v>
      </c>
      <c r="F10">
        <v>4560</v>
      </c>
      <c r="G10">
        <f>Table1[[#This Row],[Production_units]]/Table1[[#This Row],[Energy_kWh]]</f>
        <v>4.0131578947368425</v>
      </c>
    </row>
    <row r="11" spans="1:7" x14ac:dyDescent="0.25">
      <c r="A11" t="s">
        <v>16</v>
      </c>
      <c r="B11" t="s">
        <v>29</v>
      </c>
      <c r="C11">
        <v>630</v>
      </c>
      <c r="D11">
        <v>158</v>
      </c>
      <c r="E11">
        <v>10</v>
      </c>
      <c r="F11">
        <v>4740</v>
      </c>
      <c r="G11">
        <f>Table1[[#This Row],[Production_units]]/Table1[[#This Row],[Energy_kWh]]</f>
        <v>3.9873417721518987</v>
      </c>
    </row>
    <row r="12" spans="1:7" x14ac:dyDescent="0.25">
      <c r="A12" t="s">
        <v>17</v>
      </c>
      <c r="B12" t="s">
        <v>29</v>
      </c>
      <c r="C12">
        <v>450</v>
      </c>
      <c r="D12">
        <v>110</v>
      </c>
      <c r="E12">
        <v>7</v>
      </c>
      <c r="F12">
        <v>3300</v>
      </c>
      <c r="G12">
        <f>Table1[[#This Row],[Production_units]]/Table1[[#This Row],[Energy_kWh]]</f>
        <v>4.0909090909090908</v>
      </c>
    </row>
    <row r="13" spans="1:7" x14ac:dyDescent="0.25">
      <c r="A13" t="s">
        <v>18</v>
      </c>
      <c r="B13" t="s">
        <v>29</v>
      </c>
      <c r="C13">
        <v>470</v>
      </c>
      <c r="D13">
        <v>115</v>
      </c>
      <c r="E13">
        <v>7</v>
      </c>
      <c r="F13">
        <v>3450</v>
      </c>
      <c r="G13">
        <f>Table1[[#This Row],[Production_units]]/Table1[[#This Row],[Energy_kWh]]</f>
        <v>4.0869565217391308</v>
      </c>
    </row>
    <row r="14" spans="1:7" x14ac:dyDescent="0.25">
      <c r="A14" t="s">
        <v>19</v>
      </c>
      <c r="B14" t="s">
        <v>29</v>
      </c>
      <c r="C14">
        <v>440</v>
      </c>
      <c r="D14">
        <v>108</v>
      </c>
      <c r="E14">
        <v>7</v>
      </c>
      <c r="F14">
        <v>3240</v>
      </c>
      <c r="G14">
        <f>Table1[[#This Row],[Production_units]]/Table1[[#This Row],[Energy_kWh]]</f>
        <v>4.0740740740740744</v>
      </c>
    </row>
    <row r="15" spans="1:7" x14ac:dyDescent="0.25">
      <c r="A15" t="s">
        <v>20</v>
      </c>
      <c r="B15" t="s">
        <v>29</v>
      </c>
      <c r="C15">
        <v>460</v>
      </c>
      <c r="D15">
        <v>112</v>
      </c>
      <c r="E15">
        <v>7</v>
      </c>
      <c r="F15">
        <v>3360</v>
      </c>
      <c r="G15">
        <f>Table1[[#This Row],[Production_units]]/Table1[[#This Row],[Energy_kWh]]</f>
        <v>4.1071428571428568</v>
      </c>
    </row>
    <row r="16" spans="1:7" x14ac:dyDescent="0.25">
      <c r="A16" t="s">
        <v>21</v>
      </c>
      <c r="B16" t="s">
        <v>29</v>
      </c>
      <c r="C16">
        <v>480</v>
      </c>
      <c r="D16">
        <v>118</v>
      </c>
      <c r="E16">
        <v>7</v>
      </c>
      <c r="F16">
        <v>3540</v>
      </c>
      <c r="G16">
        <f>Table1[[#This Row],[Production_units]]/Table1[[#This Row],[Energy_kWh]]</f>
        <v>4.0677966101694913</v>
      </c>
    </row>
    <row r="17" spans="1:7" x14ac:dyDescent="0.25">
      <c r="A17" t="s">
        <v>22</v>
      </c>
      <c r="B17" t="s">
        <v>27</v>
      </c>
      <c r="C17">
        <v>540</v>
      </c>
      <c r="D17">
        <v>132</v>
      </c>
      <c r="E17">
        <v>8</v>
      </c>
      <c r="F17">
        <v>3960</v>
      </c>
      <c r="G17">
        <f>Table1[[#This Row],[Production_units]]/Table1[[#This Row],[Energy_kWh]]</f>
        <v>4.0909090909090908</v>
      </c>
    </row>
    <row r="18" spans="1:7" x14ac:dyDescent="0.25">
      <c r="A18" t="s">
        <v>23</v>
      </c>
      <c r="B18" t="s">
        <v>28</v>
      </c>
      <c r="C18">
        <v>640</v>
      </c>
      <c r="D18">
        <v>160</v>
      </c>
      <c r="E18">
        <v>10</v>
      </c>
      <c r="F18">
        <v>4800</v>
      </c>
      <c r="G18">
        <f>Table1[[#This Row],[Production_units]]/Table1[[#This Row],[Energy_kWh]]</f>
        <v>4</v>
      </c>
    </row>
    <row r="19" spans="1:7" x14ac:dyDescent="0.25">
      <c r="A19" t="s">
        <v>24</v>
      </c>
      <c r="B19" t="s">
        <v>29</v>
      </c>
      <c r="C19">
        <v>500</v>
      </c>
      <c r="D19">
        <v>120</v>
      </c>
      <c r="E19">
        <v>7</v>
      </c>
      <c r="F19">
        <v>3600</v>
      </c>
      <c r="G19">
        <f>Table1[[#This Row],[Production_units]]/Table1[[#This Row],[Energy_kWh]]</f>
        <v>4.166666666666667</v>
      </c>
    </row>
    <row r="20" spans="1:7" x14ac:dyDescent="0.25">
      <c r="A20" t="s">
        <v>25</v>
      </c>
      <c r="B20" t="s">
        <v>27</v>
      </c>
      <c r="C20">
        <v>515</v>
      </c>
      <c r="D20">
        <v>124</v>
      </c>
      <c r="E20">
        <v>8</v>
      </c>
      <c r="F20">
        <v>3720</v>
      </c>
      <c r="G20">
        <f>Table1[[#This Row],[Production_units]]/Table1[[#This Row],[Energy_kWh]]</f>
        <v>4.153225806451613</v>
      </c>
    </row>
    <row r="21" spans="1:7" x14ac:dyDescent="0.25">
      <c r="A21" t="s">
        <v>26</v>
      </c>
      <c r="B21" t="s">
        <v>28</v>
      </c>
      <c r="C21">
        <v>615</v>
      </c>
      <c r="D21">
        <v>154</v>
      </c>
      <c r="E21">
        <v>10</v>
      </c>
      <c r="F21">
        <v>4620</v>
      </c>
      <c r="G21">
        <f>Table1[[#This Row],[Production_units]]/Table1[[#This Row],[Energy_kWh]]</f>
        <v>3.9935064935064934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2893-FBD7-4DBD-9101-3DC31EFD262D}">
  <dimension ref="A1:J7"/>
  <sheetViews>
    <sheetView tabSelected="1" workbookViewId="0">
      <selection activeCell="E8" sqref="E8"/>
    </sheetView>
  </sheetViews>
  <sheetFormatPr defaultRowHeight="15" x14ac:dyDescent="0.25"/>
  <cols>
    <col min="1" max="1" width="19.140625" customWidth="1"/>
    <col min="2" max="2" width="30.85546875" customWidth="1"/>
    <col min="3" max="3" width="31.28515625" customWidth="1"/>
    <col min="8" max="8" width="10.85546875" customWidth="1"/>
    <col min="9" max="9" width="13.28515625" customWidth="1"/>
    <col min="10" max="10" width="24.85546875" customWidth="1"/>
  </cols>
  <sheetData>
    <row r="1" spans="1:10" x14ac:dyDescent="0.25">
      <c r="A1" t="s">
        <v>40</v>
      </c>
      <c r="I1" t="s">
        <v>41</v>
      </c>
    </row>
    <row r="3" spans="1:10" x14ac:dyDescent="0.25">
      <c r="A3" s="1" t="s">
        <v>1</v>
      </c>
      <c r="B3" t="s">
        <v>34</v>
      </c>
      <c r="H3" s="1" t="s">
        <v>30</v>
      </c>
      <c r="I3" s="1" t="s">
        <v>32</v>
      </c>
      <c r="J3" t="s">
        <v>33</v>
      </c>
    </row>
    <row r="4" spans="1:10" x14ac:dyDescent="0.25">
      <c r="A4" s="2" t="s">
        <v>27</v>
      </c>
      <c r="B4" s="3">
        <v>28.895849119972397</v>
      </c>
      <c r="H4" s="2" t="s">
        <v>27</v>
      </c>
      <c r="I4" s="3">
        <v>871</v>
      </c>
      <c r="J4" s="3">
        <v>3595</v>
      </c>
    </row>
    <row r="5" spans="1:10" x14ac:dyDescent="0.25">
      <c r="A5" s="2" t="s">
        <v>28</v>
      </c>
      <c r="B5" s="3">
        <v>23.925583307162256</v>
      </c>
      <c r="H5" s="2" t="s">
        <v>28</v>
      </c>
      <c r="I5" s="3">
        <v>919</v>
      </c>
      <c r="J5" s="3">
        <v>3665</v>
      </c>
    </row>
    <row r="6" spans="1:10" x14ac:dyDescent="0.25">
      <c r="A6" s="2" t="s">
        <v>29</v>
      </c>
      <c r="B6" s="3">
        <v>28.580887592853212</v>
      </c>
      <c r="H6" s="2" t="s">
        <v>29</v>
      </c>
      <c r="I6" s="3">
        <v>841</v>
      </c>
      <c r="J6" s="3">
        <v>3430</v>
      </c>
    </row>
    <row r="7" spans="1:10" x14ac:dyDescent="0.25">
      <c r="A7" s="2" t="s">
        <v>31</v>
      </c>
      <c r="B7" s="3">
        <v>81.402320019987869</v>
      </c>
      <c r="H7" s="2" t="s">
        <v>31</v>
      </c>
      <c r="I7" s="3">
        <v>2631</v>
      </c>
      <c r="J7" s="3">
        <v>10690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0BC5-9E04-4E8E-A0FB-AAB0E0B9ACBD}">
  <dimension ref="A1:A5"/>
  <sheetViews>
    <sheetView workbookViewId="0">
      <selection activeCell="G21" sqref="G21"/>
    </sheetView>
  </sheetViews>
  <sheetFormatPr defaultRowHeight="15" x14ac:dyDescent="0.25"/>
  <sheetData>
    <row r="1" spans="1:1" x14ac:dyDescent="0.25">
      <c r="A1" s="4" t="s">
        <v>39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 2</vt:lpstr>
      <vt:lpstr>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Sithumini De silva</dc:creator>
  <cp:lastModifiedBy>Sithumini De silva</cp:lastModifiedBy>
  <dcterms:created xsi:type="dcterms:W3CDTF">2026-06-02T06:45:10Z</dcterms:created>
  <dcterms:modified xsi:type="dcterms:W3CDTF">2026-06-02T08:28:51Z</dcterms:modified>
</cp:coreProperties>
</file>